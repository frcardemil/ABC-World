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se 3\Seccion-005\Grupo 4 ABCWorld\Evidencias grupales\"/>
    </mc:Choice>
  </mc:AlternateContent>
  <xr:revisionPtr revIDLastSave="0" documentId="13_ncr:1_{8ED1294A-BB79-40BC-B15D-87AB0C013E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<sst xmlns="http://schemas.openxmlformats.org/spreadsheetml/2006/main" count="163" uniqueCount="65">
  <si>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</si>
  <si>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</si>
  <si>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</si>
  <si>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</si>
  <si>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</si>
  <si>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</si>
  <si>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</si>
  <si>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</si>
  <si>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</si>
  <si>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</si>
  <si>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</si>
  <si>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</si>
  <si>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</si>
  <si>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</si>
  <si>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</si>
  <si>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</si>
  <si>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</si>
  <si>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</si>
  <si>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</si>
  <si>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</si>
  <si>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</si>
  <si>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</si>
  <si>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</si>
  <si>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</si>
  <si>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</si>
  <si>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</si>
  <si>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</si>
  <si>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</si>
  <si>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</si>
  <si>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</si>
  <si>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</si>
  <si>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</si>
  <si>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</si>
  <si>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</si>
  <si>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</si>
  <si>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</si>
  <si>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</si>
  <si>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</si>
  <si>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</si>
  <si>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</si>
  <si>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</si>
  <si>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</si>
  <si>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</si>
  <si>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</si>
  <si>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</si>
  <si>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</si>
  <si>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</si>
  <si>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</si>
  <si>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</si>
  <si>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</si>
  <si>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</si>
  <si>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</si>
  <si>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</si>
  <si>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</si>
  <si>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</si>
  <si>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</si>
  <si>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</si>
  <si>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</si>
  <si>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</si>
  <si>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</si>
  <si>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</si>
  <si>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</si>
  <si>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</si>
  <si>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Francisca Cardemil</t>
  </si>
  <si>
    <t>Marcelo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</si>
</sst>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3" fillId="0" borderId="0" xfId="0" applyFont="1" applyAlignment="1">
      <alignment horizontal="left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3" zoomScale="120" zoomScaleNormal="120" workbookViewId="0">
      <selection activeCell="I6" sqref="I6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ht="14.4" x14ac:dyDescent="0.3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ht="14.4" x14ac:dyDescent="0.3">
      <c r="A6" s="3">
        <v>3</v>
      </c>
      <c r="B6" s="16"/>
      <c r="C6" s="31">
        <f>C47</f>
        <v>7</v>
      </c>
      <c r="D6" s="37">
        <f>C86</f>
        <v>7</v>
      </c>
      <c r="E6" s="36">
        <f t="shared" si="0"/>
        <v>7</v>
      </c>
    </row>
    <row r="7" spans="1:11" ht="15" customHeight="1" x14ac:dyDescent="0.3">
      <c r="B7" s="39"/>
    </row>
    <row r="11" spans="1:11" ht="18" outlineLevel="1" x14ac:dyDescent="0.3">
      <c r="A11" s="40" t="s">
        <v>4</v>
      </c>
      <c r="B11" s="11" t="str">
        <f>B4</f>
        <v>Francisca Cardemil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ht="14.4" outlineLevel="1" x14ac:dyDescent="0.3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4" outlineLevel="1" x14ac:dyDescent="0.3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" customHeight="1" outlineLevel="1" x14ac:dyDescent="0.3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2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2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2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1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3"/>
      <c r="B21" s="21" t="s">
        <v>13</v>
      </c>
      <c r="C21" s="14">
        <f>VLOOKUP(C20,ESCALA_IEP!A2:B202,2,FALSE)</f>
        <v>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0" t="s">
        <v>4</v>
      </c>
      <c r="B24" s="11" t="str">
        <f>B5</f>
        <v>Marcelo Castillo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3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3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3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2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2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2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3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5">
      <c r="A33" s="41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3"/>
      <c r="B34" s="21" t="s">
        <v>13</v>
      </c>
      <c r="C34" s="14">
        <f>VLOOKUP(C33,ESCALA_IEP!A15:B215,2,FALSE)</f>
        <v>7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0" t="s">
        <v>4</v>
      </c>
      <c r="B37" s="11">
        <f>B6</f>
        <v>0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3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3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3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2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2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2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3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5">
      <c r="A46" s="41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3"/>
      <c r="B47" s="21" t="s">
        <v>13</v>
      </c>
      <c r="C47" s="14">
        <f>VLOOKUP(C46,ESCALA_IEP!A28:B228,2,FALSE)</f>
        <v>7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49" t="s">
        <v>14</v>
      </c>
      <c r="B50" s="11" t="str">
        <f>B4</f>
        <v>Francisca Cardemil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3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3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3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2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2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2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3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5">
      <c r="A59" s="41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5">
      <c r="A60" s="43"/>
      <c r="B60" s="21" t="s">
        <v>13</v>
      </c>
      <c r="C60" s="14">
        <f>VLOOKUP(C59,ESCALA_IEP!A41:B241,2,FALSE)</f>
        <v>7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49" t="s">
        <v>15</v>
      </c>
      <c r="B63" s="11" t="str">
        <f>B5</f>
        <v>Marcelo Castillo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3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3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3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3">
      <c r="A67" s="42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3">
      <c r="A68" s="42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3">
      <c r="A69" s="42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3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3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5">
      <c r="A72" s="41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43"/>
      <c r="B73" s="21" t="s">
        <v>13</v>
      </c>
      <c r="C73" s="14">
        <f>VLOOKUP(C72,ESCALA_IEP!A54:B254,2,FALSE)</f>
        <v>7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49" t="s">
        <v>16</v>
      </c>
      <c r="B76" s="11">
        <f>B6</f>
        <v>0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3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3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3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3">
      <c r="A80" s="42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3">
      <c r="A81" s="42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3">
      <c r="A82" s="42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3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3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5">
      <c r="A85" s="41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3"/>
      <c r="B86" s="21" t="s">
        <v>13</v>
      </c>
      <c r="C86" s="14">
        <f>VLOOKUP(C85,ESCALA_IEP!A67:B267,2,FALSE)</f>
        <v>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x14ac:dyDescent="0.3">
      <c r="A2" s="51"/>
      <c r="B2" s="55" t="s">
        <v>20</v>
      </c>
      <c r="C2" s="55" t="s">
        <v>21</v>
      </c>
      <c r="D2" s="25" t="s">
        <v>22</v>
      </c>
      <c r="E2" s="26" t="s">
        <v>11</v>
      </c>
      <c r="F2" s="51"/>
    </row>
    <row r="3" spans="1:6" x14ac:dyDescent="0.3">
      <c r="A3" s="51"/>
      <c r="B3" s="56"/>
      <c r="C3" s="56"/>
      <c r="D3" s="27">
        <v>0.3</v>
      </c>
      <c r="E3" s="27">
        <v>0</v>
      </c>
      <c r="F3" s="51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7" t="s">
        <v>60</v>
      </c>
      <c r="B1" s="4" t="s">
        <v>12</v>
      </c>
      <c r="C1" s="5"/>
      <c r="D1" s="5"/>
      <c r="E1" s="6"/>
    </row>
    <row r="2" spans="1:5" ht="43.8" thickBot="1" x14ac:dyDescent="0.35">
      <c r="A2" s="58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Cristian Molina P.</cp:lastModifiedBy>
  <cp:revision/>
  <dcterms:created xsi:type="dcterms:W3CDTF">2023-08-07T04:08:01Z</dcterms:created>
  <dcterms:modified xsi:type="dcterms:W3CDTF">2025-11-28T20:58:23Z</dcterms:modified>
  <cp:category/>
  <cp:contentStatus/>
</cp:coreProperties>
</file>